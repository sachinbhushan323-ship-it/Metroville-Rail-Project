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hartData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6">
    <font>
      <name val="Aptos Narrow"/>
      <charset val="1"/>
      <family val="2"/>
      <color theme="1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2"/>
    </font>
    <font>
      <name val="Calibri"/>
      <charset val="1"/>
      <family val="2"/>
      <sz val="10.5"/>
    </font>
    <font>
      <name val="Arial"/>
      <charset val="1"/>
      <family val="2"/>
      <color rgb="FFECECEC"/>
      <sz val="10.5"/>
    </font>
    <font>
      <name val="Arial"/>
      <charset val="1"/>
      <family val="2"/>
      <sz val="10.5"/>
    </font>
    <font>
      <name val="Calibri"/>
      <charset val="1"/>
      <family val="2"/>
      <b val="1"/>
      <sz val="12"/>
    </font>
    <font>
      <name val="Arial"/>
      <charset val="1"/>
      <family val="0"/>
      <b val="1"/>
      <color rgb="FFFFFFFF"/>
      <sz val="15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color rgb="FF000000"/>
      <sz val="12"/>
    </font>
    <font>
      <name val="Arial"/>
      <charset val="1"/>
      <family val="0"/>
      <i val="1"/>
      <color rgb="FF555555"/>
      <sz val="8"/>
    </font>
    <font>
      <name val="Arial"/>
      <charset val="1"/>
      <family val="0"/>
      <i val="1"/>
      <color rgb="FFCC0000"/>
      <sz val="8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8"/>
    </font>
    <font>
      <name val="Arial"/>
      <charset val="1"/>
      <family val="0"/>
      <color rgb="FF000000"/>
      <sz val="8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006600"/>
      <sz val="10"/>
    </font>
    <font>
      <name val="Arial"/>
      <charset val="1"/>
      <family val="0"/>
      <i val="1"/>
      <color rgb="FF000000"/>
      <sz val="8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CC0000"/>
      <sz val="10"/>
    </font>
    <font>
      <name val="Aptos Narrow"/>
      <family val="2"/>
      <b val="1"/>
      <color rgb="FF000000"/>
      <sz val="18"/>
    </font>
    <font>
      <name val="Aptos Narrow"/>
      <family val="2"/>
      <color rgb="FF000000"/>
      <sz val="10"/>
    </font>
    <font>
      <name val="Aptos Narrow"/>
      <family val="2"/>
      <b val="1"/>
      <color rgb="FF000000"/>
      <sz val="10"/>
    </font>
  </fonts>
  <fills count="11">
    <fill>
      <patternFill/>
    </fill>
    <fill>
      <patternFill patternType="gray125"/>
    </fill>
    <fill>
      <patternFill patternType="solid">
        <fgColor rgb="FF1A1A1A"/>
        <bgColor rgb="FF003300"/>
      </patternFill>
    </fill>
    <fill>
      <patternFill patternType="solid">
        <fgColor rgb="FF444444"/>
        <bgColor rgb="FF555555"/>
      </patternFill>
    </fill>
    <fill>
      <patternFill patternType="solid">
        <fgColor rgb="FFF2F2F2"/>
        <bgColor rgb="FFF7F7F7"/>
      </patternFill>
    </fill>
    <fill>
      <patternFill patternType="solid">
        <fgColor rgb="FFFFE8E8"/>
        <bgColor rgb="FFFFE0E0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F7F7F7"/>
      </patternFill>
    </fill>
    <fill>
      <patternFill patternType="solid">
        <fgColor rgb="FFCCFFCC"/>
        <bgColor rgb="FFECECEC"/>
      </patternFill>
    </fill>
    <fill>
      <patternFill patternType="solid">
        <fgColor rgb="FFF7F7F7"/>
        <bgColor rgb="FFF2F2F2"/>
      </patternFill>
    </fill>
    <fill>
      <patternFill patternType="solid">
        <fgColor rgb="FFFFE0E0"/>
        <bgColor rgb="FFFFE8E8"/>
      </patternFill>
    </fill>
  </fills>
  <borders count="15">
    <border>
      <left/>
      <right/>
      <top/>
      <bottom/>
      <diagonal/>
    </border>
    <border>
      <left style="medium"/>
      <right style="medium"/>
      <top style="medium"/>
      <bottom style="double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double"/>
      <diagonal/>
    </border>
    <border>
      <left/>
      <right style="medium"/>
      <top style="medium"/>
      <bottom style="double"/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 applyAlignment="1">
      <alignment horizontal="general" vertical="bottom"/>
    </xf>
  </cellStyleXfs>
  <cellXfs count="9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bottom"/>
    </xf>
    <xf numFmtId="0" fontId="5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3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5" fillId="0" borderId="4" applyAlignment="1" pivotButton="0" quotePrefix="0" xfId="0">
      <alignment horizontal="general" vertical="bottom"/>
    </xf>
    <xf numFmtId="0" fontId="5" fillId="0" borderId="5" applyAlignment="1" pivotButton="0" quotePrefix="0" xfId="0">
      <alignment horizontal="general" vertical="bottom"/>
    </xf>
    <xf numFmtId="9" fontId="5" fillId="0" borderId="5" applyAlignment="1" pivotButton="0" quotePrefix="0" xfId="0">
      <alignment horizontal="general" vertical="bottom"/>
    </xf>
    <xf numFmtId="9" fontId="0" fillId="0" borderId="5" applyAlignment="1" pivotButton="0" quotePrefix="0" xfId="19">
      <alignment horizontal="general" vertical="bottom"/>
    </xf>
    <xf numFmtId="0" fontId="5" fillId="0" borderId="6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9" fillId="2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/>
    </xf>
    <xf numFmtId="0" fontId="15" fillId="6" borderId="7" applyAlignment="1" pivotButton="0" quotePrefix="0" xfId="0">
      <alignment horizontal="center" vertical="center"/>
    </xf>
    <xf numFmtId="0" fontId="16" fillId="7" borderId="7" applyAlignment="1" pivotButton="0" quotePrefix="0" xfId="0">
      <alignment horizontal="left" vertical="center"/>
    </xf>
    <xf numFmtId="0" fontId="16" fillId="7" borderId="7" applyAlignment="1" pivotButton="0" quotePrefix="0" xfId="0">
      <alignment horizontal="center" vertical="center"/>
    </xf>
    <xf numFmtId="9" fontId="16" fillId="7" borderId="7" applyAlignment="1" pivotButton="0" quotePrefix="0" xfId="0">
      <alignment horizontal="center" vertical="center"/>
    </xf>
    <xf numFmtId="0" fontId="15" fillId="8" borderId="7" applyAlignment="1" pivotButton="0" quotePrefix="0" xfId="0">
      <alignment horizontal="center" vertical="center"/>
    </xf>
    <xf numFmtId="0" fontId="16" fillId="7" borderId="7" applyAlignment="1" pivotButton="0" quotePrefix="0" xfId="0">
      <alignment horizontal="left" vertical="center" wrapText="1"/>
    </xf>
    <xf numFmtId="0" fontId="16" fillId="9" borderId="7" applyAlignment="1" pivotButton="0" quotePrefix="0" xfId="0">
      <alignment horizontal="left" vertical="center"/>
    </xf>
    <xf numFmtId="0" fontId="16" fillId="9" borderId="7" applyAlignment="1" pivotButton="0" quotePrefix="0" xfId="0">
      <alignment horizontal="center" vertical="center"/>
    </xf>
    <xf numFmtId="9" fontId="16" fillId="9" borderId="7" applyAlignment="1" pivotButton="0" quotePrefix="0" xfId="0">
      <alignment horizontal="center" vertical="center"/>
    </xf>
    <xf numFmtId="0" fontId="16" fillId="9" borderId="7" applyAlignment="1" pivotButton="0" quotePrefix="0" xfId="0">
      <alignment horizontal="left" vertical="center" wrapText="1"/>
    </xf>
    <xf numFmtId="0" fontId="15" fillId="10" borderId="7" applyAlignment="1" pivotButton="0" quotePrefix="0" xfId="0">
      <alignment horizontal="center" vertical="center"/>
    </xf>
    <xf numFmtId="0" fontId="17" fillId="4" borderId="8" applyAlignment="1" pivotButton="0" quotePrefix="0" xfId="0">
      <alignment horizontal="left" vertical="center"/>
    </xf>
    <xf numFmtId="0" fontId="18" fillId="4" borderId="7" applyAlignment="1" pivotButton="0" quotePrefix="0" xfId="0">
      <alignment horizontal="center" vertical="center"/>
    </xf>
    <xf numFmtId="0" fontId="19" fillId="8" borderId="7" applyAlignment="1" pivotButton="0" quotePrefix="0" xfId="0">
      <alignment horizontal="center" vertical="center"/>
    </xf>
    <xf numFmtId="0" fontId="15" fillId="9" borderId="7" applyAlignment="1" pivotButton="0" quotePrefix="0" xfId="0">
      <alignment horizontal="left" vertical="center"/>
    </xf>
    <xf numFmtId="0" fontId="20" fillId="9" borderId="8" applyAlignment="1" pivotButton="0" quotePrefix="0" xfId="0">
      <alignment horizontal="left" vertical="center" wrapText="1"/>
    </xf>
    <xf numFmtId="0" fontId="17" fillId="7" borderId="8" applyAlignment="1" pivotButton="0" quotePrefix="0" xfId="0">
      <alignment horizontal="left" vertical="center"/>
    </xf>
    <xf numFmtId="0" fontId="18" fillId="7" borderId="7" applyAlignment="1" pivotButton="0" quotePrefix="0" xfId="0">
      <alignment horizontal="center" vertical="center"/>
    </xf>
    <xf numFmtId="0" fontId="15" fillId="7" borderId="7" applyAlignment="1" pivotButton="0" quotePrefix="0" xfId="0">
      <alignment horizontal="left" vertical="center"/>
    </xf>
    <xf numFmtId="0" fontId="20" fillId="7" borderId="8" applyAlignment="1" pivotButton="0" quotePrefix="0" xfId="0">
      <alignment horizontal="left" vertical="center" wrapText="1"/>
    </xf>
    <xf numFmtId="0" fontId="21" fillId="10" borderId="7" applyAlignment="1" pivotButton="0" quotePrefix="0" xfId="0">
      <alignment horizontal="center" vertical="center"/>
    </xf>
    <xf numFmtId="0" fontId="22" fillId="10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bottom"/>
    </xf>
    <xf numFmtId="0" fontId="0" fillId="0" borderId="11" pivotButton="0" quotePrefix="0" xfId="0"/>
    <xf numFmtId="0" fontId="0" fillId="0" borderId="12" pivotButton="0" quotePrefix="0" xfId="0"/>
    <xf numFmtId="0" fontId="5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3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5" fillId="0" borderId="4" applyAlignment="1" pivotButton="0" quotePrefix="0" xfId="0">
      <alignment horizontal="general" vertical="bottom"/>
    </xf>
    <xf numFmtId="0" fontId="5" fillId="0" borderId="5" applyAlignment="1" pivotButton="0" quotePrefix="0" xfId="0">
      <alignment horizontal="general" vertical="bottom"/>
    </xf>
    <xf numFmtId="9" fontId="5" fillId="0" borderId="5" applyAlignment="1" pivotButton="0" quotePrefix="0" xfId="0">
      <alignment horizontal="general" vertical="bottom"/>
    </xf>
    <xf numFmtId="9" fontId="0" fillId="0" borderId="5" applyAlignment="1" pivotButton="0" quotePrefix="0" xfId="19">
      <alignment horizontal="general" vertical="bottom"/>
    </xf>
    <xf numFmtId="0" fontId="5" fillId="0" borderId="6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9" fillId="2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/>
    </xf>
    <xf numFmtId="0" fontId="15" fillId="6" borderId="7" applyAlignment="1" pivotButton="0" quotePrefix="0" xfId="0">
      <alignment horizontal="center" vertical="center"/>
    </xf>
    <xf numFmtId="0" fontId="16" fillId="7" borderId="7" applyAlignment="1" pivotButton="0" quotePrefix="0" xfId="0">
      <alignment horizontal="left" vertical="center"/>
    </xf>
    <xf numFmtId="0" fontId="16" fillId="7" borderId="7" applyAlignment="1" pivotButton="0" quotePrefix="0" xfId="0">
      <alignment horizontal="center" vertical="center"/>
    </xf>
    <xf numFmtId="9" fontId="16" fillId="7" borderId="7" applyAlignment="1" pivotButton="0" quotePrefix="0" xfId="0">
      <alignment horizontal="center" vertical="center"/>
    </xf>
    <xf numFmtId="0" fontId="15" fillId="8" borderId="7" applyAlignment="1" pivotButton="0" quotePrefix="0" xfId="0">
      <alignment horizontal="center" vertical="center"/>
    </xf>
    <xf numFmtId="0" fontId="16" fillId="7" borderId="7" applyAlignment="1" pivotButton="0" quotePrefix="0" xfId="0">
      <alignment horizontal="left" vertical="center" wrapText="1"/>
    </xf>
    <xf numFmtId="0" fontId="16" fillId="9" borderId="7" applyAlignment="1" pivotButton="0" quotePrefix="0" xfId="0">
      <alignment horizontal="left" vertical="center"/>
    </xf>
    <xf numFmtId="0" fontId="16" fillId="9" borderId="7" applyAlignment="1" pivotButton="0" quotePrefix="0" xfId="0">
      <alignment horizontal="center" vertical="center"/>
    </xf>
    <xf numFmtId="9" fontId="16" fillId="9" borderId="7" applyAlignment="1" pivotButton="0" quotePrefix="0" xfId="0">
      <alignment horizontal="center" vertical="center"/>
    </xf>
    <xf numFmtId="0" fontId="16" fillId="9" borderId="7" applyAlignment="1" pivotButton="0" quotePrefix="0" xfId="0">
      <alignment horizontal="left" vertical="center" wrapText="1"/>
    </xf>
    <xf numFmtId="0" fontId="15" fillId="10" borderId="7" applyAlignment="1" pivotButton="0" quotePrefix="0" xfId="0">
      <alignment horizontal="center" vertical="center"/>
    </xf>
    <xf numFmtId="0" fontId="17" fillId="4" borderId="8" applyAlignment="1" pivotButton="0" quotePrefix="0" xfId="0">
      <alignment horizontal="left" vertical="center"/>
    </xf>
    <xf numFmtId="0" fontId="0" fillId="0" borderId="14" pivotButton="0" quotePrefix="0" xfId="0"/>
    <xf numFmtId="0" fontId="18" fillId="4" borderId="7" applyAlignment="1" pivotButton="0" quotePrefix="0" xfId="0">
      <alignment horizontal="center" vertical="center"/>
    </xf>
    <xf numFmtId="0" fontId="19" fillId="8" borderId="7" applyAlignment="1" pivotButton="0" quotePrefix="0" xfId="0">
      <alignment horizontal="center" vertical="center"/>
    </xf>
    <xf numFmtId="0" fontId="15" fillId="9" borderId="7" applyAlignment="1" pivotButton="0" quotePrefix="0" xfId="0">
      <alignment horizontal="left" vertical="center"/>
    </xf>
    <xf numFmtId="0" fontId="20" fillId="9" borderId="8" applyAlignment="1" pivotButton="0" quotePrefix="0" xfId="0">
      <alignment horizontal="left" vertical="center" wrapText="1"/>
    </xf>
    <xf numFmtId="0" fontId="17" fillId="7" borderId="8" applyAlignment="1" pivotButton="0" quotePrefix="0" xfId="0">
      <alignment horizontal="left" vertical="center"/>
    </xf>
    <xf numFmtId="0" fontId="18" fillId="7" borderId="7" applyAlignment="1" pivotButton="0" quotePrefix="0" xfId="0">
      <alignment horizontal="center" vertical="center"/>
    </xf>
    <xf numFmtId="0" fontId="15" fillId="7" borderId="7" applyAlignment="1" pivotButton="0" quotePrefix="0" xfId="0">
      <alignment horizontal="left" vertical="center"/>
    </xf>
    <xf numFmtId="0" fontId="20" fillId="7" borderId="8" applyAlignment="1" pivotButton="0" quotePrefix="0" xfId="0">
      <alignment horizontal="left" vertical="center" wrapText="1"/>
    </xf>
    <xf numFmtId="0" fontId="21" fillId="10" borderId="7" applyAlignment="1" pivotButton="0" quotePrefix="0" xfId="0">
      <alignment horizontal="center" vertical="center"/>
    </xf>
    <xf numFmtId="0" fontId="22" fillId="10" borderId="7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AAAAAA"/>
      <rgbColor rgb="FF8B8B8B"/>
      <rgbColor rgb="FF9999FF"/>
      <rgbColor rgb="FF993366"/>
      <rgbColor rgb="FFF7F7F7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CEC"/>
      <rgbColor rgb="FFCCFFCC"/>
      <rgbColor rgb="FFFFE8E8"/>
      <rgbColor rgb="FFDDDDDD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1A1A1A"/>
      <rgbColor rgb="FF993300"/>
      <rgbColor rgb="FF993366"/>
      <rgbColor rgb="FF333399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sz="1800" b="1" strike="noStrike" spc="-1">
                <a:solidFill>
                  <a:srgbClr val="000000"/>
                </a:solidFill>
                <a:latin typeface="Aptos Narrow"/>
              </a:rPr>
              <a:t>Track Installation: Planned vs Completed (mi)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ChartData!B1</f>
              <strCache>
                <ptCount val="1"/>
                <pt idx="0">
                  <v>Planned (mi)</v>
                </pt>
              </strCache>
            </strRef>
          </tx>
          <spPr>
            <a:solidFill xmlns:a="http://schemas.openxmlformats.org/drawingml/2006/main">
              <a:srgbClr val="999999"/>
            </a:solidFill>
            <a:ln xmlns:a="http://schemas.openxmlformats.org/drawingml/2006/main" w="12600">
              <a:solidFill>
                <a:srgbClr val="ffffff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ChartData!$A$2:$A$5</f>
              <strCache>
                <ptCount val="4"/>
                <pt idx="0">
                  <v>Central Urban Corridor</v>
                </pt>
                <pt idx="1">
                  <v>Southeastern Quadrant</v>
                </pt>
                <pt idx="2">
                  <v>Eastern Section</v>
                </pt>
                <pt idx="3">
                  <v>Western Industrial Area</v>
                </pt>
              </strCache>
            </strRef>
          </cat>
          <val>
            <numRef>
              <f>ChartData!$B$2:$B$5</f>
              <numCache>
                <formatCode>General</formatCode>
                <ptCount val="4"/>
                <pt idx="0">
                  <v>19</v>
                </pt>
                <pt idx="1">
                  <v>15</v>
                </pt>
                <pt idx="2">
                  <v>12</v>
                </pt>
                <pt idx="3">
                  <v>22</v>
                </pt>
              </numCache>
            </numRef>
          </val>
        </ser>
        <ser>
          <idx val="1"/>
          <order val="1"/>
          <tx>
            <strRef>
              <f>ChartData!C1</f>
              <strCache>
                <ptCount val="1"/>
                <pt idx="0">
                  <v>Completed (mi)</v>
                </pt>
              </strCache>
            </strRef>
          </tx>
          <spPr>
            <a:solidFill xmlns:a="http://schemas.openxmlformats.org/drawingml/2006/main">
              <a:srgbClr val="1a1a1a"/>
            </a:solidFill>
            <a:ln xmlns:a="http://schemas.openxmlformats.org/drawingml/2006/main" w="12600">
              <a:solidFill>
                <a:srgbClr val="ffffff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ChartData!$A$2:$A$5</f>
              <strCache>
                <ptCount val="4"/>
                <pt idx="0">
                  <v>Central Urban Corridor</v>
                </pt>
                <pt idx="1">
                  <v>Southeastern Quadrant</v>
                </pt>
                <pt idx="2">
                  <v>Eastern Section</v>
                </pt>
                <pt idx="3">
                  <v>Western Industrial Area</v>
                </pt>
              </strCache>
            </strRef>
          </cat>
          <val>
            <numRef>
              <f>ChartData!$C$2:$C$5</f>
              <numCache>
                <formatCode>General</formatCode>
                <ptCount val="4"/>
                <pt idx="0">
                  <v>16</v>
                </pt>
                <pt idx="1">
                  <v>10</v>
                </pt>
                <pt idx="2">
                  <v>6</v>
                </pt>
                <pt idx="3">
                  <v>16</v>
                </pt>
              </numCache>
            </numRef>
          </val>
        </ser>
        <gapWidth val="150"/>
        <overlap val="0"/>
        <axId val="1582697"/>
        <axId val="34781766"/>
      </barChart>
      <catAx>
        <axId val="158269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1260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r>
              <a:t/>
            </a:r>
          </a:p>
        </txPr>
        <crossAx val="34781766"/>
        <crosses val="autoZero"/>
        <auto val="1"/>
        <lblAlgn val="ctr"/>
        <lblOffset val="100"/>
        <noMultiLvlLbl val="0"/>
      </catAx>
      <valAx>
        <axId val="34781766"/>
        <scaling>
          <orientation val="minMax"/>
        </scaling>
        <delete val="0"/>
        <axPos val="l"/>
        <majorGridlines>
          <spPr>
            <a:ln xmlns:a="http://schemas.openxmlformats.org/drawingml/2006/main" w="1260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Aptos Narrow"/>
                  </a:rPr>
                  <a:t>Miles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1260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r>
              <a:t/>
            </a:r>
          </a:p>
        </txPr>
        <crossAx val="158269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</col>
      <colOff>0</colOff>
      <row>25</row>
      <rowOff>0</rowOff>
    </from>
    <to>
      <col>7</col>
      <colOff>318960</colOff>
      <row>42</row>
      <rowOff>199080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3:H30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selection pane="topLeft" activeCell="A23" activeCellId="0" sqref="A23"/>
    </sheetView>
  </sheetViews>
  <sheetFormatPr baseColWidth="8" defaultColWidth="10.4921875" defaultRowHeight="15.75" zeroHeight="0" outlineLevelRow="0"/>
  <cols>
    <col width="24.33" customWidth="1" style="45" min="1" max="1"/>
    <col width="10" customWidth="1" style="45" min="2" max="2"/>
    <col width="25.33" customWidth="1" style="45" min="3" max="3"/>
    <col width="26.67" customWidth="1" style="45" min="4" max="4"/>
    <col width="13.67" customWidth="1" style="45" min="5" max="5"/>
    <col width="25.33" customWidth="1" style="45" min="6" max="6"/>
    <col width="26.67" customWidth="1" style="45" min="7" max="7"/>
    <col width="89" customWidth="1" style="45" min="8" max="8"/>
  </cols>
  <sheetData>
    <row r="2" ht="16.5" customHeight="1" s="46"/>
    <row r="3" ht="16.5" customHeight="1" s="46">
      <c r="A3" s="47" t="inlineStr">
        <is>
          <t>Track Installation</t>
        </is>
      </c>
      <c r="B3" s="48" t="n"/>
      <c r="C3" s="48" t="n"/>
      <c r="D3" s="48" t="n"/>
      <c r="E3" s="48" t="n"/>
      <c r="F3" s="48" t="n"/>
      <c r="G3" s="48" t="n"/>
      <c r="H3" s="49" t="n"/>
    </row>
    <row r="4" ht="16.5" customHeight="1" s="46">
      <c r="A4" s="50" t="inlineStr">
        <is>
          <t>Segment</t>
        </is>
      </c>
      <c r="B4" s="51" t="inlineStr">
        <is>
          <t>Planned Mi</t>
        </is>
      </c>
      <c r="C4" s="51" t="inlineStr">
        <is>
          <t>Completed Mi (Previous)</t>
        </is>
      </c>
      <c r="D4" s="51" t="inlineStr">
        <is>
          <t>Completed Mi (Current)</t>
        </is>
      </c>
      <c r="E4" s="51" t="inlineStr">
        <is>
          <t>% Completion</t>
        </is>
      </c>
      <c r="F4" s="45" t="inlineStr">
        <is>
          <t>Completed Mi % (Previous)</t>
        </is>
      </c>
      <c r="G4" s="45" t="inlineStr">
        <is>
          <t>Completed Mi % (This Week)</t>
        </is>
      </c>
      <c r="H4" s="52" t="inlineStr">
        <is>
          <t>Notes</t>
        </is>
      </c>
    </row>
    <row r="5" ht="15.75" customHeight="1" s="46">
      <c r="A5" s="50" t="inlineStr">
        <is>
          <t>Central Urban Corridor</t>
        </is>
      </c>
      <c r="B5" s="51" t="inlineStr">
        <is>
          <t>19 mi</t>
        </is>
      </c>
      <c r="C5" s="51" t="inlineStr">
        <is>
          <t>12 mi</t>
        </is>
      </c>
      <c r="D5" s="51" t="inlineStr">
        <is>
          <t>16 mi</t>
        </is>
      </c>
      <c r="E5" s="53" t="n">
        <v>0.84</v>
      </c>
      <c r="F5" s="54">
        <f>12/19</f>
        <v/>
      </c>
      <c r="G5" s="54">
        <f>4/19</f>
        <v/>
      </c>
      <c r="H5" s="52" t="inlineStr">
        <is>
          <t>Advanced machinery and night shifts increased pace. Monitor potential community noise concerns.</t>
        </is>
      </c>
    </row>
    <row r="6" ht="15.75" customHeight="1" s="46">
      <c r="A6" s="50" t="inlineStr">
        <is>
          <t>Southeastern Quadrant</t>
        </is>
      </c>
      <c r="B6" s="51" t="inlineStr">
        <is>
          <t>15 mi</t>
        </is>
      </c>
      <c r="C6" s="51" t="inlineStr">
        <is>
          <t>6 mi</t>
        </is>
      </c>
      <c r="D6" s="51" t="n">
        <v>10</v>
      </c>
      <c r="E6" s="53" t="n">
        <v>0.6666666666666666</v>
      </c>
      <c r="F6" s="54">
        <f>6/15</f>
        <v/>
      </c>
      <c r="G6" s="54" t="n">
        <v>0.2666666666666667</v>
      </c>
      <c r="H6" s="52" t="inlineStr">
        <is>
          <t>Recent equipment upgrades significantly improved installation rate. Continued focus on maintaining momentum.</t>
        </is>
      </c>
    </row>
    <row r="7" ht="15.75" customHeight="1" s="46">
      <c r="A7" s="50" t="inlineStr">
        <is>
          <t>Eastern Section</t>
        </is>
      </c>
      <c r="B7" s="51" t="inlineStr">
        <is>
          <t>12 mi</t>
        </is>
      </c>
      <c r="C7" s="51" t="inlineStr">
        <is>
          <t>6 mi</t>
        </is>
      </c>
      <c r="D7" s="51" t="n">
        <v>6</v>
      </c>
      <c r="E7" s="53" t="n">
        <v>0.5</v>
      </c>
      <c r="F7" s="54">
        <f>6/12</f>
        <v/>
      </c>
      <c r="G7" s="54" t="n">
        <v>0</v>
      </c>
      <c r="H7" s="52" t="inlineStr">
        <is>
          <t>No progress due to rocky terrain. Exploring alternative methods and potential rerouting. Strategic review needed.</t>
        </is>
      </c>
    </row>
    <row r="8" ht="16.5" customHeight="1" s="46">
      <c r="A8" s="55" t="inlineStr">
        <is>
          <t>Western Industrial Area</t>
        </is>
      </c>
      <c r="B8" s="56" t="inlineStr">
        <is>
          <t>22 mi</t>
        </is>
      </c>
      <c r="C8" s="56" t="inlineStr">
        <is>
          <t>9 mi</t>
        </is>
      </c>
      <c r="D8" s="56" t="inlineStr">
        <is>
          <t>16 mi</t>
        </is>
      </c>
      <c r="E8" s="57" t="n">
        <v>0.73</v>
      </c>
      <c r="F8" s="58">
        <f>9/22</f>
        <v/>
      </c>
      <c r="G8" s="58">
        <f>7/22</f>
        <v/>
      </c>
      <c r="H8" s="59" t="inlineStr">
        <is>
          <t>Accelerated progress with enhanced equipment deployment. Optimize resource allocation to sustain pace.</t>
        </is>
      </c>
    </row>
    <row r="9" ht="16.5" customHeight="1" s="46">
      <c r="A9" s="60" t="n"/>
      <c r="B9" s="60" t="n"/>
      <c r="C9" s="60" t="n"/>
      <c r="D9" s="60" t="n"/>
      <c r="E9" s="60" t="n"/>
      <c r="F9" s="60" t="n"/>
      <c r="G9" s="60" t="n"/>
      <c r="H9" s="61" t="n"/>
    </row>
    <row r="10" ht="16.5" customHeight="1" s="46">
      <c r="A10" s="62" t="inlineStr">
        <is>
          <t>Electrification</t>
        </is>
      </c>
      <c r="B10" s="48" t="n"/>
      <c r="C10" s="48" t="n"/>
      <c r="D10" s="48" t="n"/>
      <c r="E10" s="48" t="n"/>
      <c r="F10" s="48" t="n"/>
      <c r="G10" s="48" t="n"/>
      <c r="H10" s="49" t="n"/>
    </row>
    <row r="11" ht="16.5" customHeight="1" s="46">
      <c r="A11" s="50" t="inlineStr">
        <is>
          <t>Component</t>
        </is>
      </c>
      <c r="B11" s="51" t="inlineStr">
        <is>
          <t>Planned Units</t>
        </is>
      </c>
      <c r="C11" s="51" t="inlineStr">
        <is>
          <t>Completed Units (Previous)</t>
        </is>
      </c>
      <c r="D11" s="51" t="inlineStr">
        <is>
          <t>Completed Units (Current)</t>
        </is>
      </c>
      <c r="E11" s="51" t="inlineStr">
        <is>
          <t>% Completion</t>
        </is>
      </c>
      <c r="F11" s="45" t="inlineStr">
        <is>
          <t>Completed Units % (Previous)</t>
        </is>
      </c>
      <c r="G11" s="45" t="inlineStr">
        <is>
          <t>Completed Units % (This Week)</t>
        </is>
      </c>
      <c r="H11" s="52" t="inlineStr">
        <is>
          <t>Notes</t>
        </is>
      </c>
    </row>
    <row r="12" ht="15.75" customHeight="1" s="46">
      <c r="A12" s="50" t="inlineStr">
        <is>
          <t>Track Electrification</t>
        </is>
      </c>
      <c r="B12" s="51" t="inlineStr">
        <is>
          <t>68 mi</t>
        </is>
      </c>
      <c r="C12" s="51" t="inlineStr">
        <is>
          <t>24 mi</t>
        </is>
      </c>
      <c r="D12" s="51" t="n">
        <v>30</v>
      </c>
      <c r="E12" s="53" t="n">
        <v>0.4411764705882353</v>
      </c>
      <c r="F12" s="54">
        <f>24/80</f>
        <v/>
      </c>
      <c r="G12" s="54" t="n">
        <v>0.08823529411764706</v>
      </c>
      <c r="H12" s="52" t="inlineStr">
        <is>
          <t>Significant progress with 6 mi electrified recently. Continuing efforts to stay on track.</t>
        </is>
      </c>
    </row>
    <row r="13" ht="16.5" customHeight="1" s="46">
      <c r="A13" s="55" t="inlineStr">
        <is>
          <t>Substations Construction</t>
        </is>
      </c>
      <c r="B13" s="56" t="n">
        <v>5</v>
      </c>
      <c r="C13" s="56" t="n">
        <v>2</v>
      </c>
      <c r="D13" s="56" t="n">
        <v>2</v>
      </c>
      <c r="E13" s="57" t="n">
        <v>0.4</v>
      </c>
      <c r="F13" s="58">
        <f>2/5</f>
        <v/>
      </c>
      <c r="G13" s="58" t="n">
        <v>0</v>
      </c>
      <c r="H13" s="59" t="inlineStr">
        <is>
          <t>No new substations completed. Delay in electrical components impacts schedule.</t>
        </is>
      </c>
    </row>
    <row r="14" ht="15.75" customHeight="1" s="46">
      <c r="A14" s="60" t="n"/>
      <c r="B14" s="60" t="n"/>
      <c r="C14" s="60" t="n"/>
      <c r="D14" s="60" t="n"/>
      <c r="E14" s="60" t="n"/>
      <c r="F14" s="60" t="n"/>
      <c r="G14" s="60" t="n"/>
    </row>
    <row r="15" ht="15.75" customHeight="1" s="46">
      <c r="A15" s="60" t="n"/>
      <c r="B15" s="60" t="n"/>
      <c r="C15" s="60" t="n"/>
      <c r="D15" s="60" t="n"/>
      <c r="E15" s="60" t="n"/>
      <c r="F15" s="60" t="n"/>
      <c r="G15" s="60" t="n"/>
    </row>
    <row r="16" ht="15.75" customHeight="1" s="46">
      <c r="A16" s="60" t="n"/>
      <c r="B16" s="60" t="n"/>
      <c r="C16" s="60" t="n"/>
      <c r="D16" s="60" t="n"/>
      <c r="E16" s="60" t="n"/>
      <c r="F16" s="60" t="n"/>
      <c r="G16" s="60" t="n"/>
    </row>
    <row r="17" ht="15.75" customHeight="1" s="46">
      <c r="A17" s="60" t="n"/>
      <c r="B17" s="60" t="n"/>
      <c r="C17" s="60" t="n"/>
      <c r="D17" s="60" t="n"/>
      <c r="E17" s="60" t="n"/>
      <c r="F17" s="60" t="n"/>
      <c r="G17" s="60" t="n"/>
    </row>
    <row r="18" ht="15.75" customHeight="1" s="46">
      <c r="A18" s="60" t="n"/>
      <c r="B18" s="60" t="n"/>
      <c r="C18" s="60" t="n"/>
      <c r="D18" s="60" t="n"/>
      <c r="E18" s="60" t="n"/>
      <c r="F18" s="60" t="n"/>
      <c r="G18" s="60" t="n"/>
    </row>
    <row r="19" ht="15.75" customHeight="1" s="46">
      <c r="A19" s="60" t="n"/>
      <c r="B19" s="60" t="n"/>
      <c r="C19" s="60" t="n"/>
      <c r="D19" s="60" t="n"/>
    </row>
    <row r="24" ht="15.75" customHeight="1" s="46">
      <c r="B24" s="54" t="n"/>
      <c r="C24" s="54" t="n"/>
      <c r="D24" s="54" t="n"/>
    </row>
    <row r="25" ht="15.75" customHeight="1" s="46">
      <c r="B25" s="54" t="n"/>
      <c r="C25" s="54" t="n"/>
      <c r="D25" s="54" t="n"/>
    </row>
    <row r="26" ht="15.75" customHeight="1" s="46">
      <c r="B26" s="54" t="n"/>
      <c r="C26" s="54" t="n"/>
      <c r="D26" s="54" t="n"/>
    </row>
    <row r="27" ht="15.75" customHeight="1" s="46">
      <c r="B27" s="54" t="n"/>
      <c r="C27" s="54" t="n"/>
      <c r="D27" s="54" t="n"/>
    </row>
    <row r="29" ht="15.75" customHeight="1" s="46">
      <c r="C29" s="54" t="n"/>
      <c r="D29" s="54" t="n"/>
    </row>
    <row r="30" ht="15.75" customHeight="1" s="46">
      <c r="C30" s="54" t="n"/>
      <c r="D30" s="54" t="n"/>
    </row>
  </sheetData>
  <mergeCells count="2">
    <mergeCell ref="A3:H3"/>
    <mergeCell ref="A10:H1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C1:J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4921875" defaultRowHeight="15" zeroHeight="0" outlineLevelRow="0"/>
  <cols>
    <col width="2" customWidth="1" style="45" min="1" max="2"/>
    <col width="18" customWidth="1" style="45" min="3" max="3"/>
    <col width="11" customWidth="1" style="45" min="4" max="6"/>
    <col width="5" customWidth="1" style="45" min="7" max="7"/>
    <col width="14" customWidth="1" style="45" min="8" max="9"/>
    <col width="18" customWidth="1" style="45" min="10" max="10"/>
    <col width="2" customWidth="1" style="45" min="11" max="11"/>
  </cols>
  <sheetData>
    <row r="1" ht="19.5" customHeight="1" s="46">
      <c r="C1" s="63" t="inlineStr">
        <is>
          <t>Metroville Urban Rail Expansion  —  Project Dashboard</t>
        </is>
      </c>
    </row>
    <row r="2" ht="19.5" customHeight="1" s="46"/>
    <row r="3" ht="15.75" customHeight="1" s="46"/>
    <row r="4" ht="13.5" customHeight="1" s="46">
      <c r="C4" s="64" t="inlineStr">
        <is>
          <t>TRACK INSTALLED</t>
        </is>
      </c>
      <c r="E4" s="64" t="inlineStr">
        <is>
          <t>ELECTRIFIED</t>
        </is>
      </c>
      <c r="G4" s="64" t="inlineStr">
        <is>
          <t>BUDGET SPENT</t>
        </is>
      </c>
      <c r="I4" s="64" t="inlineStr">
        <is>
          <t>COMMUNITY</t>
        </is>
      </c>
    </row>
    <row r="5" ht="21.75" customHeight="1" s="46">
      <c r="C5" s="65" t="inlineStr">
        <is>
          <t>32 / 68 mi</t>
        </is>
      </c>
      <c r="E5" s="65" t="inlineStr">
        <is>
          <t>30 / 68 mi</t>
        </is>
      </c>
      <c r="G5" s="66" t="inlineStr">
        <is>
          <t>$90M → $125M est.</t>
        </is>
      </c>
      <c r="I5" s="66" t="inlineStr">
        <is>
          <t>Engagement: Good</t>
        </is>
      </c>
    </row>
    <row r="6" ht="13.5" customHeight="1" s="46">
      <c r="C6" s="67" t="inlineStr">
        <is>
          <t>47% complete</t>
        </is>
      </c>
      <c r="E6" s="67" t="inlineStr">
        <is>
          <t>44% complete</t>
        </is>
      </c>
      <c r="G6" s="68" t="inlineStr">
        <is>
          <t>⚑ Over budget</t>
        </is>
      </c>
      <c r="I6" s="68" t="inlineStr">
        <is>
          <t>⚑ Noise complaints</t>
        </is>
      </c>
    </row>
    <row r="7" ht="15.75" customHeight="1" s="46"/>
    <row r="8" ht="18" customHeight="1" s="46">
      <c r="C8" s="69" t="inlineStr">
        <is>
          <t>TRACK INSTALLATION PROGRESS</t>
        </is>
      </c>
    </row>
    <row r="9" ht="15.75" customHeight="1" s="46">
      <c r="C9" s="70" t="inlineStr">
        <is>
          <t>Segment</t>
        </is>
      </c>
      <c r="D9" s="70" t="inlineStr">
        <is>
          <t>Planned</t>
        </is>
      </c>
      <c r="E9" s="70" t="inlineStr">
        <is>
          <t>Prev (mi)</t>
        </is>
      </c>
      <c r="F9" s="70" t="inlineStr">
        <is>
          <t>Current (mi)</t>
        </is>
      </c>
      <c r="G9" s="70" t="inlineStr">
        <is>
          <t>% Done</t>
        </is>
      </c>
      <c r="H9" s="70" t="inlineStr">
        <is>
          <t>Δ This Week</t>
        </is>
      </c>
      <c r="I9" s="70" t="inlineStr">
        <is>
          <t>Status</t>
        </is>
      </c>
      <c r="J9" s="70" t="inlineStr">
        <is>
          <t>Notes</t>
        </is>
      </c>
    </row>
    <row r="10" ht="18" customHeight="1" s="46">
      <c r="C10" s="71" t="inlineStr">
        <is>
          <t>Central Urban Corridor</t>
        </is>
      </c>
      <c r="D10" s="72" t="inlineStr">
        <is>
          <t>19 mi</t>
        </is>
      </c>
      <c r="E10" s="72" t="inlineStr">
        <is>
          <t>12 mi</t>
        </is>
      </c>
      <c r="F10" s="72" t="inlineStr">
        <is>
          <t>16 mi</t>
        </is>
      </c>
      <c r="G10" s="73" t="n">
        <v>0.842105263157895</v>
      </c>
      <c r="H10" s="73" t="n">
        <v>0.210526315789474</v>
      </c>
      <c r="I10" s="74" t="inlineStr">
        <is>
          <t>✓ On track</t>
        </is>
      </c>
      <c r="J10" s="75" t="inlineStr">
        <is>
          <t>Night shifts boosted pace. Watch noise concerns.</t>
        </is>
      </c>
    </row>
    <row r="11" ht="18" customHeight="1" s="46">
      <c r="C11" s="76" t="inlineStr">
        <is>
          <t>Southeastern Quadrant</t>
        </is>
      </c>
      <c r="D11" s="77" t="inlineStr">
        <is>
          <t>15 mi</t>
        </is>
      </c>
      <c r="E11" s="77" t="inlineStr">
        <is>
          <t>6 mi</t>
        </is>
      </c>
      <c r="F11" s="77" t="inlineStr">
        <is>
          <t>10 mi</t>
        </is>
      </c>
      <c r="G11" s="78" t="n">
        <v>0.666666666666667</v>
      </c>
      <c r="H11" s="78" t="n">
        <v>0.266666666666667</v>
      </c>
      <c r="I11" s="74" t="inlineStr">
        <is>
          <t>✓ Good pace</t>
        </is>
      </c>
      <c r="J11" s="79" t="inlineStr">
        <is>
          <t>Equipment upgrade driving gains.</t>
        </is>
      </c>
    </row>
    <row r="12" ht="18" customHeight="1" s="46">
      <c r="C12" s="71" t="inlineStr">
        <is>
          <t>Eastern Section</t>
        </is>
      </c>
      <c r="D12" s="72" t="inlineStr">
        <is>
          <t>12 mi</t>
        </is>
      </c>
      <c r="E12" s="72" t="inlineStr">
        <is>
          <t>6 mi</t>
        </is>
      </c>
      <c r="F12" s="72" t="inlineStr">
        <is>
          <t>6 mi</t>
        </is>
      </c>
      <c r="G12" s="73" t="n">
        <v>0.5</v>
      </c>
      <c r="H12" s="73" t="n">
        <v>0</v>
      </c>
      <c r="I12" s="80" t="inlineStr">
        <is>
          <t>⚑ Stalled</t>
        </is>
      </c>
      <c r="J12" s="75" t="inlineStr">
        <is>
          <t>Zero progress. Rocky terrain. Review underway.</t>
        </is>
      </c>
    </row>
    <row r="13" ht="18" customHeight="1" s="46">
      <c r="C13" s="76" t="inlineStr">
        <is>
          <t>Western Industrial Area</t>
        </is>
      </c>
      <c r="D13" s="77" t="inlineStr">
        <is>
          <t>22 mi</t>
        </is>
      </c>
      <c r="E13" s="77" t="inlineStr">
        <is>
          <t>9 mi</t>
        </is>
      </c>
      <c r="F13" s="77" t="inlineStr">
        <is>
          <t>16 mi</t>
        </is>
      </c>
      <c r="G13" s="78" t="n">
        <v>0.727272727272727</v>
      </c>
      <c r="H13" s="78" t="n">
        <v>0.318181818181818</v>
      </c>
      <c r="I13" s="74" t="inlineStr">
        <is>
          <t>✓ On track</t>
        </is>
      </c>
      <c r="J13" s="79" t="inlineStr">
        <is>
          <t>Strong gains with upgraded equipment.</t>
        </is>
      </c>
    </row>
    <row r="14" ht="15.75" customHeight="1" s="46"/>
    <row r="15" ht="18" customHeight="1" s="46">
      <c r="C15" s="69" t="inlineStr">
        <is>
          <t>ELECTRIFICATION MILESTONES</t>
        </is>
      </c>
    </row>
    <row r="16" ht="15.75" customHeight="1" s="46">
      <c r="C16" s="70" t="inlineStr">
        <is>
          <t>Segment</t>
        </is>
      </c>
      <c r="D16" s="70" t="inlineStr">
        <is>
          <t>Planned</t>
        </is>
      </c>
      <c r="E16" s="70" t="inlineStr">
        <is>
          <t>Prev (mi)</t>
        </is>
      </c>
      <c r="F16" s="70" t="inlineStr">
        <is>
          <t>Current (mi)</t>
        </is>
      </c>
      <c r="G16" s="70" t="inlineStr">
        <is>
          <t>% Done</t>
        </is>
      </c>
      <c r="H16" s="70" t="inlineStr">
        <is>
          <t>Δ This Week</t>
        </is>
      </c>
      <c r="I16" s="70" t="inlineStr">
        <is>
          <t>Status</t>
        </is>
      </c>
      <c r="J16" s="70" t="inlineStr">
        <is>
          <t>Notes</t>
        </is>
      </c>
    </row>
    <row r="17" ht="18" customHeight="1" s="46">
      <c r="C17" s="71" t="inlineStr">
        <is>
          <t>Track Electrification</t>
        </is>
      </c>
      <c r="D17" s="72" t="inlineStr">
        <is>
          <t>68 mi</t>
        </is>
      </c>
      <c r="E17" s="72" t="inlineStr">
        <is>
          <t>24 mi</t>
        </is>
      </c>
      <c r="F17" s="72" t="inlineStr">
        <is>
          <t>30 mi</t>
        </is>
      </c>
      <c r="G17" s="73" t="n">
        <v>0.441176470588235</v>
      </c>
      <c r="H17" s="73" t="n">
        <v>0.08823529411764711</v>
      </c>
      <c r="I17" s="74" t="inlineStr">
        <is>
          <t>✓ Progressing</t>
        </is>
      </c>
      <c r="J17" s="75" t="inlineStr">
        <is>
          <t>6 new miles this period. Terrain adding cost pressure.</t>
        </is>
      </c>
    </row>
    <row r="18" ht="18" customHeight="1" s="46">
      <c r="C18" s="76" t="inlineStr">
        <is>
          <t>Substations Construction</t>
        </is>
      </c>
      <c r="D18" s="77" t="inlineStr">
        <is>
          <t>5</t>
        </is>
      </c>
      <c r="E18" s="77" t="inlineStr">
        <is>
          <t>2</t>
        </is>
      </c>
      <c r="F18" s="77" t="inlineStr">
        <is>
          <t>2</t>
        </is>
      </c>
      <c r="G18" s="78" t="n">
        <v>0.4</v>
      </c>
      <c r="H18" s="78" t="n">
        <v>0</v>
      </c>
      <c r="I18" s="80" t="inlineStr">
        <is>
          <t>⚑ Delayed</t>
        </is>
      </c>
      <c r="J18" s="79" t="inlineStr">
        <is>
          <t>No new substations. Electrical component delays ongoing.</t>
        </is>
      </c>
    </row>
    <row r="19" ht="15.75" customHeight="1" s="46"/>
    <row r="20" ht="18" customHeight="1" s="46">
      <c r="C20" s="69" t="inlineStr">
        <is>
          <t>BUDGET SUMMARY</t>
        </is>
      </c>
      <c r="G20" s="69" t="inlineStr">
        <is>
          <t>COMMUNITY FEEDBACK</t>
        </is>
      </c>
    </row>
    <row r="21" ht="21.75" customHeight="1" s="46">
      <c r="C21" s="81" t="inlineStr">
        <is>
          <t>Budget spent to date</t>
        </is>
      </c>
      <c r="D21" s="82" t="n"/>
      <c r="E21" s="83" t="inlineStr">
        <is>
          <t>$90M</t>
        </is>
      </c>
      <c r="G21" s="84" t="inlineStr">
        <is>
          <t>✓</t>
        </is>
      </c>
      <c r="H21" s="85" t="inlineStr">
        <is>
          <t>Engagement praised</t>
        </is>
      </c>
      <c r="I21" s="86" t="inlineStr">
        <is>
          <t>Residents appreciate transparency &amp; open consultation.</t>
        </is>
      </c>
      <c r="J21" s="82" t="n"/>
    </row>
    <row r="22" ht="21.75" customHeight="1" s="46">
      <c r="C22" s="87" t="inlineStr">
        <is>
          <t>Projected final cost</t>
        </is>
      </c>
      <c r="D22" s="82" t="n"/>
      <c r="E22" s="88" t="inlineStr">
        <is>
          <t>$125M</t>
        </is>
      </c>
      <c r="G22" s="84" t="inlineStr">
        <is>
          <t>✓</t>
        </is>
      </c>
      <c r="H22" s="89" t="inlineStr">
        <is>
          <t>Communication effective</t>
        </is>
      </c>
      <c r="I22" s="90" t="inlineStr">
        <is>
          <t>Community feels informed and heard.</t>
        </is>
      </c>
      <c r="J22" s="82" t="n"/>
    </row>
    <row r="23" ht="21.75" customHeight="1" s="46">
      <c r="C23" s="81" t="inlineStr">
        <is>
          <t>Variance vs estimate</t>
        </is>
      </c>
      <c r="D23" s="82" t="n"/>
      <c r="E23" s="91" t="inlineStr">
        <is>
          <t>⚑ Over budget</t>
        </is>
      </c>
      <c r="G23" s="92" t="inlineStr">
        <is>
          <t>⚑</t>
        </is>
      </c>
      <c r="H23" s="85" t="inlineStr">
        <is>
          <t>Noise complaints rising</t>
        </is>
      </c>
      <c r="I23" s="86" t="inlineStr">
        <is>
          <t>Nighttime construction in Eastern Section a concern.</t>
        </is>
      </c>
      <c r="J23" s="82" t="n"/>
    </row>
    <row r="24" ht="21.75" customHeight="1" s="46">
      <c r="C24" s="87" t="inlineStr">
        <is>
          <t>Primary cost driver</t>
        </is>
      </c>
      <c r="D24" s="82" t="n"/>
      <c r="E24" s="88" t="inlineStr">
        <is>
          <t>Eastern Section terrain</t>
        </is>
      </c>
      <c r="G24" s="92" t="inlineStr">
        <is>
          <t>⚑</t>
        </is>
      </c>
      <c r="H24" s="89" t="inlineStr">
        <is>
          <t>Daytime hours requested</t>
        </is>
      </c>
      <c r="I24" s="90" t="inlineStr">
        <is>
          <t>Residents want work limited to daytime. Action needed.</t>
        </is>
      </c>
      <c r="J24" s="82" t="n"/>
    </row>
    <row r="25" ht="15.75" customHeight="1" s="46"/>
    <row r="26" ht="15.75" customHeight="1" s="46"/>
    <row r="27" ht="15.75" customHeight="1" s="46"/>
    <row r="28" ht="15.75" customHeight="1" s="46"/>
    <row r="29" ht="15.75" customHeight="1" s="46"/>
    <row r="30" ht="15.75" customHeight="1" s="46"/>
    <row r="31" ht="15.75" customHeight="1" s="46"/>
    <row r="32" ht="15.75" customHeight="1" s="46"/>
    <row r="33" ht="15.75" customHeight="1" s="46"/>
    <row r="34" ht="15.75" customHeight="1" s="46"/>
    <row r="35" ht="15.75" customHeight="1" s="46"/>
    <row r="36" ht="15.75" customHeight="1" s="46"/>
    <row r="37" ht="15.75" customHeight="1" s="46"/>
    <row r="38" ht="15.75" customHeight="1" s="46"/>
    <row r="39" ht="15.75" customHeight="1" s="46"/>
    <row r="40" ht="15.75" customHeight="1" s="46"/>
    <row r="41" ht="15.75" customHeight="1" s="46"/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</sheetData>
  <mergeCells count="25">
    <mergeCell ref="C6:D6"/>
    <mergeCell ref="C24:D24"/>
    <mergeCell ref="I6:J6"/>
    <mergeCell ref="C15:J15"/>
    <mergeCell ref="C5:D5"/>
    <mergeCell ref="G20:J20"/>
    <mergeCell ref="E5:F5"/>
    <mergeCell ref="C4:D4"/>
    <mergeCell ref="E4:F4"/>
    <mergeCell ref="C22:D22"/>
    <mergeCell ref="G6:H6"/>
    <mergeCell ref="I22:J22"/>
    <mergeCell ref="I21:J21"/>
    <mergeCell ref="E6:F6"/>
    <mergeCell ref="C21:D21"/>
    <mergeCell ref="I24:J24"/>
    <mergeCell ref="G5:H5"/>
    <mergeCell ref="I5:J5"/>
    <mergeCell ref="I23:J23"/>
    <mergeCell ref="C23:D23"/>
    <mergeCell ref="C8:J8"/>
    <mergeCell ref="G4:H4"/>
    <mergeCell ref="I4:J4"/>
    <mergeCell ref="C1:J2"/>
    <mergeCell ref="C20:E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4921875" defaultRowHeight="15" zeroHeight="0" outlineLevelRow="0"/>
  <sheetData>
    <row r="1" ht="15" customHeight="1" s="46">
      <c r="A1" s="45" t="inlineStr">
        <is>
          <t>Segment</t>
        </is>
      </c>
      <c r="B1" s="45" t="inlineStr">
        <is>
          <t>Planned (mi)</t>
        </is>
      </c>
      <c r="C1" s="45" t="inlineStr">
        <is>
          <t>Completed (mi)</t>
        </is>
      </c>
    </row>
    <row r="2" ht="15" customHeight="1" s="46">
      <c r="A2" s="45" t="inlineStr">
        <is>
          <t>Central Urban Corridor</t>
        </is>
      </c>
      <c r="B2" s="45" t="n">
        <v>19</v>
      </c>
      <c r="C2" s="45" t="n">
        <v>16</v>
      </c>
    </row>
    <row r="3" ht="15" customHeight="1" s="46">
      <c r="A3" s="45" t="inlineStr">
        <is>
          <t>Southeastern Quadrant</t>
        </is>
      </c>
      <c r="B3" s="45" t="n">
        <v>15</v>
      </c>
      <c r="C3" s="45" t="n">
        <v>10</v>
      </c>
    </row>
    <row r="4" ht="15" customHeight="1" s="46">
      <c r="A4" s="45" t="inlineStr">
        <is>
          <t>Eastern Section</t>
        </is>
      </c>
      <c r="B4" s="45" t="n">
        <v>12</v>
      </c>
      <c r="C4" s="45" t="n">
        <v>6</v>
      </c>
    </row>
    <row r="5" ht="15" customHeight="1" s="46">
      <c r="A5" s="45" t="inlineStr">
        <is>
          <t>Western Industrial Area</t>
        </is>
      </c>
      <c r="B5" s="45" t="n">
        <v>22</v>
      </c>
      <c r="C5" s="45" t="n">
        <v>16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Garrett Chappell</dc:creator>
  <dc:language xmlns:dc="http://purl.org/dc/elements/1.1/">en-US</dc:language>
  <dcterms:created xmlns:dcterms="http://purl.org/dc/terms/" xmlns:xsi="http://www.w3.org/2001/XMLSchema-instance" xsi:type="dcterms:W3CDTF">2024-03-21T19:14:08Z</dcterms:created>
  <dcterms:modified xmlns:dcterms="http://purl.org/dc/terms/" xmlns:xsi="http://www.w3.org/2001/XMLSchema-instance" xsi:type="dcterms:W3CDTF">2026-04-19T09:22:26Z</dcterms:modified>
  <cp:revision>1</cp:revision>
</cp:coreProperties>
</file>